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supuesto" sheetId="1" state="visible" r:id="rId3"/>
    <sheet name="Fuen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6" authorId="0">
      <text>
        <r>
          <rPr>
            <sz val="10"/>
            <rFont val="Arial"/>
            <family val="2"/>
          </rPr>
          <t xml:space="preserve">Monto estimado, no relevado en una tienda.</t>
        </r>
      </text>
    </comment>
    <comment ref="D34" authorId="0">
      <text>
        <r>
          <rPr>
            <sz val="10"/>
            <rFont val="Arial"/>
            <family val="2"/>
          </rPr>
          <t xml:space="preserve">Porcentaje editable. Cubre envíos, cambios de precio y piezas que falten.</t>
        </r>
      </text>
    </comment>
  </commentList>
</comments>
</file>

<file path=xl/sharedStrings.xml><?xml version="1.0" encoding="utf-8"?>
<sst xmlns="http://schemas.openxmlformats.org/spreadsheetml/2006/main" count="99" uniqueCount="79">
  <si>
    <t xml:space="preserve">Presupuesto: balanza comercial con impresora de tickets</t>
  </si>
  <si>
    <t xml:space="preserve">Una unidad completa. Precios en pesos argentinos relevados el 7 y 8 de octubre de 2026. Envíos y mano de obra no incluidos.</t>
  </si>
  <si>
    <t xml:space="preserve">Ítem</t>
  </si>
  <si>
    <t xml:space="preserve">Descripción</t>
  </si>
  <si>
    <t xml:space="preserve">Cant.</t>
  </si>
  <si>
    <t xml:space="preserve">Precio unitario</t>
  </si>
  <si>
    <t xml:space="preserve">Subtotal</t>
  </si>
  <si>
    <t xml:space="preserve">Nota</t>
  </si>
  <si>
    <t xml:space="preserve">1. Balanza base</t>
  </si>
  <si>
    <t xml:space="preserve">Balanza comercial digital 40 kg</t>
  </si>
  <si>
    <t xml:space="preserve">Estructura, celda de carga, displays, teclado y batería</t>
  </si>
  <si>
    <t xml:space="preserve">Poné 0 si usás una balanza que ya tenés.</t>
  </si>
  <si>
    <t xml:space="preserve">Subtotal balanza base</t>
  </si>
  <si>
    <t xml:space="preserve">2. Electrónica de control</t>
  </si>
  <si>
    <t xml:space="preserve">Placa ESP32-S3 DevKitC-1 compatible</t>
  </si>
  <si>
    <t xml:space="preserve">Controla la balanza, guarda los productos y maneja la impresora por USB</t>
  </si>
  <si>
    <t xml:space="preserve">Antena WiFi incorporada.</t>
  </si>
  <si>
    <t xml:space="preserve">Módulo HX711</t>
  </si>
  <si>
    <t xml:space="preserve">Lee la celda de carga</t>
  </si>
  <si>
    <t xml:space="preserve">Fuente 9 V 2 A</t>
  </si>
  <si>
    <t xml:space="preserve">Alimentación de la electrónica</t>
  </si>
  <si>
    <t xml:space="preserve">Regulador step-down LM2596</t>
  </si>
  <si>
    <t xml:space="preserve">Baja a 5 V para la placa y el conector USB</t>
  </si>
  <si>
    <t xml:space="preserve">Jack DC hembra con bornera</t>
  </si>
  <si>
    <t xml:space="preserve">Entrada de la fuente</t>
  </si>
  <si>
    <t xml:space="preserve">Conector USB-A hembra de panel</t>
  </si>
  <si>
    <t xml:space="preserve">Para enchufar y desenchufar la impresora</t>
  </si>
  <si>
    <t xml:space="preserve">Varios de armado</t>
  </si>
  <si>
    <t xml:space="preserve">Capacitores, cables, termocontraíble, tornillos</t>
  </si>
  <si>
    <t xml:space="preserve">Monto estimado, no relevado en una tienda.</t>
  </si>
  <si>
    <t xml:space="preserve">Subtotal electrónica de control</t>
  </si>
  <si>
    <t xml:space="preserve">3. Impresora y papel</t>
  </si>
  <si>
    <t xml:space="preserve">Impresora térmica Xprinter XP-58IIH USB</t>
  </si>
  <si>
    <t xml:space="preserve">Tickets de 58 mm; trae fuente, cable USB y 5 rollos</t>
  </si>
  <si>
    <t xml:space="preserve">Precio de referencia.</t>
  </si>
  <si>
    <t xml:space="preserve">Rollos térmicos 57 mm x 30 m, pack x10</t>
  </si>
  <si>
    <t xml:space="preserve">Reserva de papel</t>
  </si>
  <si>
    <t xml:space="preserve">Subtotal impresora y papel</t>
  </si>
  <si>
    <t xml:space="preserve">4. Desarrollo y pruebas (una sola vez)</t>
  </si>
  <si>
    <t xml:space="preserve">Kit 120 cables dupont</t>
  </si>
  <si>
    <t xml:space="preserve">Armado de pruebas en la mesa</t>
  </si>
  <si>
    <t xml:space="preserve">Adaptador OTG USB-C a USB-A hembra</t>
  </si>
  <si>
    <t xml:space="preserve">Probar la impresora antes del armado final</t>
  </si>
  <si>
    <t xml:space="preserve">Placa ESP32-S3 de repuesto</t>
  </si>
  <si>
    <t xml:space="preserve">Probar sin arriesgar la placa de la balanza</t>
  </si>
  <si>
    <t xml:space="preserve">Opcional.</t>
  </si>
  <si>
    <t xml:space="preserve">Subtotal desarrollo y pruebas (una sola vez)</t>
  </si>
  <si>
    <t xml:space="preserve">Resumen</t>
  </si>
  <si>
    <t xml:space="preserve">Costo de la balanza con impresora (secciones 1 a 3)</t>
  </si>
  <si>
    <t xml:space="preserve">Desarrollo y pruebas (sección 4, una sola vez)</t>
  </si>
  <si>
    <t xml:space="preserve">Margen para imprevistos, envíos y aumentos</t>
  </si>
  <si>
    <t xml:space="preserve">TOTAL A PEDIR</t>
  </si>
  <si>
    <t xml:space="preserve">Cada balanza adicional, con el mismo margen</t>
  </si>
  <si>
    <t xml:space="preserve">No repite los gastos de desarrollo.</t>
  </si>
  <si>
    <t xml:space="preserve">Amarillo: cantidades y margen editables. Azul: precios relevados en tiendas (ver hoja Fuentes). Negro: cálculos.</t>
  </si>
  <si>
    <t xml:space="preserve">Tienda</t>
  </si>
  <si>
    <t xml:space="preserve">Link</t>
  </si>
  <si>
    <t xml:space="preserve">Precio relevado</t>
  </si>
  <si>
    <t xml:space="preserve">Tecnoimpor</t>
  </si>
  <si>
    <t xml:space="preserve">https://www.tecnoimpor.com.ar/productos/balanza-digital-comercial-40-kg-con-calculo-de-precio-s-mastil-s/</t>
  </si>
  <si>
    <t xml:space="preserve">Starware</t>
  </si>
  <si>
    <t xml:space="preserve">https://tienda.starware.com.ar/producto/placa-desarrollo-diy-espressif-compatible-esp32-s3-devkitc-1-n16r8-esp32-s3-wroom-1-8mb/</t>
  </si>
  <si>
    <t xml:space="preserve">TodoMicro</t>
  </si>
  <si>
    <t xml:space="preserve">https://www.todomicro.com.ar/investigacion-desarrollo-y-prototipado/759-modulo-amplificador-hx711-para-celda-de-carga.html</t>
  </si>
  <si>
    <t xml:space="preserve">Nerdstore</t>
  </si>
  <si>
    <t xml:space="preserve">https://nerdstore.com.ar/producto/fuente-performance-9v-2a-plug-5-52-110mm/</t>
  </si>
  <si>
    <t xml:space="preserve">https://www.todomicro.com.ar/step-down/589-modulo-lm2596-step-down-corriente-ajustable.html</t>
  </si>
  <si>
    <t xml:space="preserve">LED Universe</t>
  </si>
  <si>
    <t xml:space="preserve">https://www.leduniverse.com.ar/productos/ficha-plug-jack-hembra-5-5-x-2-1mm-bornera/</t>
  </si>
  <si>
    <t xml:space="preserve">West Solution</t>
  </si>
  <si>
    <t xml:space="preserve">https://westsolution.com.ar/productos/conector-usb-tipo-a-hembra-a-chasis-pc-board-montaje-frontal/</t>
  </si>
  <si>
    <t xml:space="preserve">Estimado</t>
  </si>
  <si>
    <t xml:space="preserve">Sin fuente: monto estimado</t>
  </si>
  <si>
    <t xml:space="preserve">Mercado Libre (vía MejoresCompras)</t>
  </si>
  <si>
    <t xml:space="preserve">https://mejorescompras.com.ar/precio/MLA36701582--impresora-termica-xprinter-xp58iih-bluetooth-58mm-comandera-pos-tickets-alta-velocidad-negro</t>
  </si>
  <si>
    <t xml:space="preserve">Inkgenio</t>
  </si>
  <si>
    <t xml:space="preserve">https://inkgenio.com.ar/Rollos-Rollos-Termicos/3910-rollo-termico-57x30-pack-x10-7798070391182.html</t>
  </si>
  <si>
    <t xml:space="preserve">https://www.todomicro.com.ar/628-kit-120-cables-20cm-protoboard-compatible-con-arduino.html</t>
  </si>
  <si>
    <t xml:space="preserve">https://www.todomicro.com.ar/567-adaptador-usb-c-a-usb30.html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</si>
</sst>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$ &quot;#,##0;&quot;-$ &quot;#,##0;\-"/>
    <numFmt numFmtId="166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  <font>
      <u val="single"/>
      <sz val="9"/>
      <color rgb="FF0563C1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555555"/>
      </patternFill>
    </fill>
    <fill>
      <patternFill patternType="solid">
        <fgColor rgb="FFE7E6E6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E7E6E6"/>
      </patternFill>
    </fill>
    <fill>
      <patternFill patternType="solid">
        <fgColor rgb="FFB4C6E7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D9E1F2"/>
      <rgbColor rgb="FF660066"/>
      <rgbColor rgb="FFFF8080"/>
      <rgbColor rgb="FF0563C1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4454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tecnoimpor.com.ar/productos/balanza-digital-comercial-40-kg-con-calculo-de-precio-s-mastil-s/" TargetMode="External"/><Relationship Id="rId2" Type="http://schemas.openxmlformats.org/officeDocument/2006/relationships/hyperlink" Target="https://tienda.starware.com.ar/producto/placa-desarrollo-diy-espressif-compatible-esp32-s3-devkitc-1-n16r8-esp32-s3-wroom-1-8mb/" TargetMode="External"/><Relationship Id="rId3" Type="http://schemas.openxmlformats.org/officeDocument/2006/relationships/hyperlink" Target="https://www.todomicro.com.ar/investigacion-desarrollo-y-prototipado/759-modulo-amplificador-hx711-para-celda-de-carga.html" TargetMode="External"/><Relationship Id="rId4" Type="http://schemas.openxmlformats.org/officeDocument/2006/relationships/hyperlink" Target="https://nerdstore.com.ar/producto/fuente-performance-9v-2a-plug-5-52-110mm/" TargetMode="External"/><Relationship Id="rId5" Type="http://schemas.openxmlformats.org/officeDocument/2006/relationships/hyperlink" Target="https://www.todomicro.com.ar/step-down/589-modulo-lm2596-step-down-corriente-ajustable.html" TargetMode="External"/><Relationship Id="rId6" Type="http://schemas.openxmlformats.org/officeDocument/2006/relationships/hyperlink" Target="https://www.leduniverse.com.ar/productos/ficha-plug-jack-hembra-5-5-x-2-1mm-bornera/" TargetMode="External"/><Relationship Id="rId7" Type="http://schemas.openxmlformats.org/officeDocument/2006/relationships/hyperlink" Target="https://westsolution.com.ar/productos/conector-usb-tipo-a-hembra-a-chasis-pc-board-montaje-frontal/" TargetMode="External"/><Relationship Id="rId8" Type="http://schemas.openxmlformats.org/officeDocument/2006/relationships/hyperlink" Target="https://mejorescompras.com.ar/precio/MLA36701582--impresora-termica-xprinter-xp58iih-bluetooth-58mm-comandera-pos-tickets-alta-velocidad-negro" TargetMode="External"/><Relationship Id="rId9" Type="http://schemas.openxmlformats.org/officeDocument/2006/relationships/hyperlink" Target="https://inkgenio.com.ar/Rollos-Rollos-Termicos/3910-rollo-termico-57x30-pack-x10-7798070391182.html" TargetMode="External"/><Relationship Id="rId10" Type="http://schemas.openxmlformats.org/officeDocument/2006/relationships/hyperlink" Target="https://www.todomicro.com.ar/628-kit-120-cables-20cm-protoboard-compatible-con-arduino.html" TargetMode="External"/><Relationship Id="rId11" Type="http://schemas.openxmlformats.org/officeDocument/2006/relationships/hyperlink" Target="https://www.todomicro.com.ar/567-adaptador-usb-c-a-usb30.html" TargetMode="External"/><Relationship Id="rId12" Type="http://schemas.openxmlformats.org/officeDocument/2006/relationships/hyperlink" Target="https://tienda.starware.com.ar/producto/placa-desarrollo-diy-espressif-compatible-esp32-s3-devkitc-1-n16r8-esp32-s3-wroom-1-8mb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54"/>
    <col collapsed="false" customWidth="true" hidden="false" outlineLevel="0" max="3" min="3" style="0" width="7"/>
    <col collapsed="false" customWidth="true" hidden="false" outlineLevel="0" max="5" min="4" style="0" width="15"/>
    <col collapsed="false" customWidth="true" hidden="false" outlineLevel="0" max="6" min="6" style="0" width="3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/>
      <c r="C5" s="5"/>
      <c r="D5" s="5"/>
      <c r="E5" s="5"/>
      <c r="F5" s="5"/>
    </row>
    <row r="6" customFormat="false" ht="15" hidden="false" customHeight="false" outlineLevel="0" collapsed="false">
      <c r="A6" s="6" t="s">
        <v>9</v>
      </c>
      <c r="B6" s="6" t="s">
        <v>10</v>
      </c>
      <c r="C6" s="7" t="n">
        <v>1</v>
      </c>
      <c r="D6" s="8" t="n">
        <v>35000</v>
      </c>
      <c r="E6" s="9" t="n">
        <f aca="false">C6*D6</f>
        <v>35000</v>
      </c>
      <c r="F6" s="10" t="s">
        <v>11</v>
      </c>
    </row>
    <row r="7" customFormat="false" ht="15" hidden="false" customHeight="false" outlineLevel="0" collapsed="false">
      <c r="A7" s="11" t="s">
        <v>12</v>
      </c>
      <c r="B7" s="12"/>
      <c r="C7" s="12"/>
      <c r="D7" s="12"/>
      <c r="E7" s="13" t="n">
        <f aca="false">SUM(E6:E6)</f>
        <v>35000</v>
      </c>
      <c r="F7" s="12"/>
    </row>
    <row r="9" customFormat="false" ht="15" hidden="false" customHeight="false" outlineLevel="0" collapsed="false">
      <c r="A9" s="4" t="s">
        <v>13</v>
      </c>
      <c r="B9" s="5"/>
      <c r="C9" s="5"/>
      <c r="D9" s="5"/>
      <c r="E9" s="5"/>
      <c r="F9" s="5"/>
    </row>
    <row r="10" customFormat="false" ht="23.85" hidden="false" customHeight="false" outlineLevel="0" collapsed="false">
      <c r="A10" s="6" t="s">
        <v>14</v>
      </c>
      <c r="B10" s="6" t="s">
        <v>15</v>
      </c>
      <c r="C10" s="7" t="n">
        <v>1</v>
      </c>
      <c r="D10" s="8" t="n">
        <v>18879</v>
      </c>
      <c r="E10" s="9" t="n">
        <f aca="false">C10*D10</f>
        <v>18879</v>
      </c>
      <c r="F10" s="10" t="s">
        <v>16</v>
      </c>
    </row>
    <row r="11" customFormat="false" ht="15" hidden="false" customHeight="false" outlineLevel="0" collapsed="false">
      <c r="A11" s="6" t="s">
        <v>17</v>
      </c>
      <c r="B11" s="6" t="s">
        <v>18</v>
      </c>
      <c r="C11" s="7" t="n">
        <v>1</v>
      </c>
      <c r="D11" s="8" t="n">
        <v>3290</v>
      </c>
      <c r="E11" s="9" t="n">
        <f aca="false">C11*D11</f>
        <v>3290</v>
      </c>
      <c r="F11" s="10"/>
    </row>
    <row r="12" customFormat="false" ht="15" hidden="false" customHeight="false" outlineLevel="0" collapsed="false">
      <c r="A12" s="6" t="s">
        <v>19</v>
      </c>
      <c r="B12" s="6" t="s">
        <v>20</v>
      </c>
      <c r="C12" s="7" t="n">
        <v>1</v>
      </c>
      <c r="D12" s="8" t="n">
        <v>11950</v>
      </c>
      <c r="E12" s="9" t="n">
        <f aca="false">C12*D12</f>
        <v>11950</v>
      </c>
      <c r="F12" s="10"/>
    </row>
    <row r="13" customFormat="false" ht="15" hidden="false" customHeight="false" outlineLevel="0" collapsed="false">
      <c r="A13" s="6" t="s">
        <v>21</v>
      </c>
      <c r="B13" s="6" t="s">
        <v>22</v>
      </c>
      <c r="C13" s="7" t="n">
        <v>1</v>
      </c>
      <c r="D13" s="8" t="n">
        <v>4682</v>
      </c>
      <c r="E13" s="9" t="n">
        <f aca="false">C13*D13</f>
        <v>4682</v>
      </c>
      <c r="F13" s="10"/>
    </row>
    <row r="14" customFormat="false" ht="15" hidden="false" customHeight="false" outlineLevel="0" collapsed="false">
      <c r="A14" s="6" t="s">
        <v>23</v>
      </c>
      <c r="B14" s="6" t="s">
        <v>24</v>
      </c>
      <c r="C14" s="7" t="n">
        <v>1</v>
      </c>
      <c r="D14" s="8" t="n">
        <v>600</v>
      </c>
      <c r="E14" s="9" t="n">
        <f aca="false">C14*D14</f>
        <v>600</v>
      </c>
      <c r="F14" s="10"/>
    </row>
    <row r="15" customFormat="false" ht="15" hidden="false" customHeight="false" outlineLevel="0" collapsed="false">
      <c r="A15" s="6" t="s">
        <v>25</v>
      </c>
      <c r="B15" s="6" t="s">
        <v>26</v>
      </c>
      <c r="C15" s="7" t="n">
        <v>1</v>
      </c>
      <c r="D15" s="8" t="n">
        <v>5000</v>
      </c>
      <c r="E15" s="9" t="n">
        <f aca="false">C15*D15</f>
        <v>5000</v>
      </c>
      <c r="F15" s="10"/>
    </row>
    <row r="16" customFormat="false" ht="15" hidden="false" customHeight="false" outlineLevel="0" collapsed="false">
      <c r="A16" s="6" t="s">
        <v>27</v>
      </c>
      <c r="B16" s="6" t="s">
        <v>28</v>
      </c>
      <c r="C16" s="7" t="n">
        <v>1</v>
      </c>
      <c r="D16" s="8" t="n">
        <v>3000</v>
      </c>
      <c r="E16" s="9" t="n">
        <f aca="false">C16*D16</f>
        <v>3000</v>
      </c>
      <c r="F16" s="10" t="s">
        <v>29</v>
      </c>
    </row>
    <row r="17" customFormat="false" ht="15" hidden="false" customHeight="false" outlineLevel="0" collapsed="false">
      <c r="A17" s="11" t="s">
        <v>30</v>
      </c>
      <c r="B17" s="12"/>
      <c r="C17" s="12"/>
      <c r="D17" s="12"/>
      <c r="E17" s="13" t="n">
        <f aca="false">SUM(E10:E16)</f>
        <v>47401</v>
      </c>
      <c r="F17" s="12"/>
    </row>
    <row r="19" customFormat="false" ht="15" hidden="false" customHeight="false" outlineLevel="0" collapsed="false">
      <c r="A19" s="4" t="s">
        <v>31</v>
      </c>
      <c r="B19" s="5"/>
      <c r="C19" s="5"/>
      <c r="D19" s="5"/>
      <c r="E19" s="5"/>
      <c r="F19" s="5"/>
    </row>
    <row r="20" customFormat="false" ht="15" hidden="false" customHeight="false" outlineLevel="0" collapsed="false">
      <c r="A20" s="6" t="s">
        <v>32</v>
      </c>
      <c r="B20" s="6" t="s">
        <v>33</v>
      </c>
      <c r="C20" s="7" t="n">
        <v>1</v>
      </c>
      <c r="D20" s="8" t="n">
        <v>54399</v>
      </c>
      <c r="E20" s="9" t="n">
        <f aca="false">C20*D20</f>
        <v>54399</v>
      </c>
      <c r="F20" s="10" t="s">
        <v>34</v>
      </c>
    </row>
    <row r="21" customFormat="false" ht="15" hidden="false" customHeight="false" outlineLevel="0" collapsed="false">
      <c r="A21" s="6" t="s">
        <v>35</v>
      </c>
      <c r="B21" s="6" t="s">
        <v>36</v>
      </c>
      <c r="C21" s="7" t="n">
        <v>1</v>
      </c>
      <c r="D21" s="8" t="n">
        <v>6300</v>
      </c>
      <c r="E21" s="9" t="n">
        <f aca="false">C21*D21</f>
        <v>6300</v>
      </c>
      <c r="F21" s="10"/>
    </row>
    <row r="22" customFormat="false" ht="15" hidden="false" customHeight="false" outlineLevel="0" collapsed="false">
      <c r="A22" s="11" t="s">
        <v>37</v>
      </c>
      <c r="B22" s="12"/>
      <c r="C22" s="12"/>
      <c r="D22" s="12"/>
      <c r="E22" s="13" t="n">
        <f aca="false">SUM(E20:E21)</f>
        <v>60699</v>
      </c>
      <c r="F22" s="12"/>
    </row>
    <row r="24" customFormat="false" ht="15" hidden="false" customHeight="false" outlineLevel="0" collapsed="false">
      <c r="A24" s="4" t="s">
        <v>38</v>
      </c>
      <c r="B24" s="5"/>
      <c r="C24" s="5"/>
      <c r="D24" s="5"/>
      <c r="E24" s="5"/>
      <c r="F24" s="5"/>
    </row>
    <row r="25" customFormat="false" ht="15" hidden="false" customHeight="false" outlineLevel="0" collapsed="false">
      <c r="A25" s="6" t="s">
        <v>39</v>
      </c>
      <c r="B25" s="6" t="s">
        <v>40</v>
      </c>
      <c r="C25" s="7" t="n">
        <v>1</v>
      </c>
      <c r="D25" s="8" t="n">
        <v>9809</v>
      </c>
      <c r="E25" s="9" t="n">
        <f aca="false">C25*D25</f>
        <v>9809</v>
      </c>
      <c r="F25" s="10"/>
    </row>
    <row r="26" customFormat="false" ht="15" hidden="false" customHeight="false" outlineLevel="0" collapsed="false">
      <c r="A26" s="6" t="s">
        <v>41</v>
      </c>
      <c r="B26" s="6" t="s">
        <v>42</v>
      </c>
      <c r="C26" s="7" t="n">
        <v>1</v>
      </c>
      <c r="D26" s="8" t="n">
        <v>2638</v>
      </c>
      <c r="E26" s="9" t="n">
        <f aca="false">C26*D26</f>
        <v>2638</v>
      </c>
      <c r="F26" s="10"/>
    </row>
    <row r="27" customFormat="false" ht="15" hidden="false" customHeight="false" outlineLevel="0" collapsed="false">
      <c r="A27" s="6" t="s">
        <v>43</v>
      </c>
      <c r="B27" s="6" t="s">
        <v>44</v>
      </c>
      <c r="C27" s="7" t="n">
        <v>1</v>
      </c>
      <c r="D27" s="8" t="n">
        <v>18879</v>
      </c>
      <c r="E27" s="9" t="n">
        <f aca="false">C27*D27</f>
        <v>18879</v>
      </c>
      <c r="F27" s="10" t="s">
        <v>45</v>
      </c>
    </row>
    <row r="28" customFormat="false" ht="15" hidden="false" customHeight="false" outlineLevel="0" collapsed="false">
      <c r="A28" s="11" t="s">
        <v>46</v>
      </c>
      <c r="B28" s="12"/>
      <c r="C28" s="12"/>
      <c r="D28" s="12"/>
      <c r="E28" s="13" t="n">
        <f aca="false">SUM(E25:E27)</f>
        <v>31326</v>
      </c>
      <c r="F28" s="12"/>
    </row>
    <row r="30" customFormat="false" ht="15" hidden="false" customHeight="false" outlineLevel="0" collapsed="false">
      <c r="A30" s="14" t="s">
        <v>47</v>
      </c>
      <c r="B30" s="15"/>
      <c r="C30" s="15"/>
      <c r="D30" s="15"/>
      <c r="E30" s="15"/>
      <c r="F30" s="15"/>
    </row>
    <row r="31" customFormat="false" ht="15" hidden="false" customHeight="false" outlineLevel="0" collapsed="false">
      <c r="A31" s="16" t="s">
        <v>48</v>
      </c>
      <c r="B31" s="17"/>
      <c r="C31" s="17"/>
      <c r="D31" s="17"/>
      <c r="E31" s="18" t="n">
        <f aca="false">E7+E17+E22</f>
        <v>143100</v>
      </c>
      <c r="F31" s="17"/>
    </row>
    <row r="32" customFormat="false" ht="15" hidden="false" customHeight="false" outlineLevel="0" collapsed="false">
      <c r="A32" s="16" t="s">
        <v>49</v>
      </c>
      <c r="B32" s="17"/>
      <c r="C32" s="17"/>
      <c r="D32" s="17"/>
      <c r="E32" s="18" t="n">
        <f aca="false">E28</f>
        <v>31326</v>
      </c>
      <c r="F32" s="17"/>
    </row>
    <row r="33" customFormat="false" ht="15" hidden="false" customHeight="false" outlineLevel="0" collapsed="false">
      <c r="A33" s="11" t="s">
        <v>6</v>
      </c>
      <c r="B33" s="12"/>
      <c r="C33" s="12"/>
      <c r="D33" s="12"/>
      <c r="E33" s="13" t="n">
        <f aca="false">E31+E32</f>
        <v>174426</v>
      </c>
      <c r="F33" s="12"/>
    </row>
    <row r="34" customFormat="false" ht="15" hidden="false" customHeight="false" outlineLevel="0" collapsed="false">
      <c r="A34" s="16" t="s">
        <v>50</v>
      </c>
      <c r="B34" s="17"/>
      <c r="C34" s="17"/>
      <c r="D34" s="19" t="n">
        <v>0.15</v>
      </c>
      <c r="E34" s="18" t="n">
        <f aca="false">E33*D34</f>
        <v>26163.9</v>
      </c>
      <c r="F34" s="17"/>
    </row>
    <row r="35" customFormat="false" ht="15" hidden="false" customHeight="false" outlineLevel="0" collapsed="false">
      <c r="A35" s="20" t="s">
        <v>51</v>
      </c>
      <c r="B35" s="21"/>
      <c r="C35" s="21"/>
      <c r="D35" s="21"/>
      <c r="E35" s="22" t="n">
        <f aca="false">E33+E34</f>
        <v>200589.9</v>
      </c>
      <c r="F35" s="21"/>
    </row>
    <row r="37" customFormat="false" ht="15" hidden="false" customHeight="false" outlineLevel="0" collapsed="false">
      <c r="A37" s="23" t="s">
        <v>52</v>
      </c>
      <c r="B37" s="17"/>
      <c r="C37" s="17"/>
      <c r="D37" s="17"/>
      <c r="E37" s="24" t="n">
        <f aca="false">E31*(1+D34)</f>
        <v>164565</v>
      </c>
      <c r="F37" s="25" t="s">
        <v>53</v>
      </c>
    </row>
    <row r="39" customFormat="false" ht="15" hidden="false" customHeight="false" outlineLevel="0" collapsed="false">
      <c r="A39" s="2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26" t="s">
        <v>2</v>
      </c>
      <c r="B1" s="26" t="s">
        <v>55</v>
      </c>
      <c r="C1" s="26" t="s">
        <v>56</v>
      </c>
      <c r="D1" s="26" t="s">
        <v>57</v>
      </c>
    </row>
    <row r="2" customFormat="false" ht="15" hidden="false" customHeight="false" outlineLevel="0" collapsed="false">
      <c r="A2" s="16" t="s">
        <v>9</v>
      </c>
      <c r="B2" s="16" t="s">
        <v>58</v>
      </c>
      <c r="C2" s="27" t="s">
        <v>59</v>
      </c>
      <c r="D2" s="28" t="n">
        <f aca="false">Presupuesto!D6</f>
        <v>35000</v>
      </c>
    </row>
    <row r="3" customFormat="false" ht="15" hidden="false" customHeight="false" outlineLevel="0" collapsed="false">
      <c r="A3" s="16" t="s">
        <v>14</v>
      </c>
      <c r="B3" s="16" t="s">
        <v>60</v>
      </c>
      <c r="C3" s="27" t="s">
        <v>61</v>
      </c>
      <c r="D3" s="28" t="n">
        <f aca="false">Presupuesto!D10</f>
        <v>18879</v>
      </c>
    </row>
    <row r="4" customFormat="false" ht="15" hidden="false" customHeight="false" outlineLevel="0" collapsed="false">
      <c r="A4" s="16" t="s">
        <v>17</v>
      </c>
      <c r="B4" s="16" t="s">
        <v>62</v>
      </c>
      <c r="C4" s="27" t="s">
        <v>63</v>
      </c>
      <c r="D4" s="28" t="n">
        <f aca="false">Presupuesto!D11</f>
        <v>3290</v>
      </c>
    </row>
    <row r="5" customFormat="false" ht="15" hidden="false" customHeight="false" outlineLevel="0" collapsed="false">
      <c r="A5" s="16" t="s">
        <v>19</v>
      </c>
      <c r="B5" s="16" t="s">
        <v>64</v>
      </c>
      <c r="C5" s="27" t="s">
        <v>65</v>
      </c>
      <c r="D5" s="28" t="n">
        <f aca="false">Presupuesto!D12</f>
        <v>11950</v>
      </c>
    </row>
    <row r="6" customFormat="false" ht="15" hidden="false" customHeight="false" outlineLevel="0" collapsed="false">
      <c r="A6" s="16" t="s">
        <v>21</v>
      </c>
      <c r="B6" s="16" t="s">
        <v>62</v>
      </c>
      <c r="C6" s="27" t="s">
        <v>66</v>
      </c>
      <c r="D6" s="28" t="n">
        <f aca="false">Presupuesto!D13</f>
        <v>4682</v>
      </c>
    </row>
    <row r="7" customFormat="false" ht="15" hidden="false" customHeight="false" outlineLevel="0" collapsed="false">
      <c r="A7" s="16" t="s">
        <v>23</v>
      </c>
      <c r="B7" s="16" t="s">
        <v>67</v>
      </c>
      <c r="C7" s="27" t="s">
        <v>68</v>
      </c>
      <c r="D7" s="28" t="n">
        <f aca="false">Presupuesto!D14</f>
        <v>600</v>
      </c>
    </row>
    <row r="8" customFormat="false" ht="15" hidden="false" customHeight="false" outlineLevel="0" collapsed="false">
      <c r="A8" s="16" t="s">
        <v>25</v>
      </c>
      <c r="B8" s="16" t="s">
        <v>69</v>
      </c>
      <c r="C8" s="27" t="s">
        <v>70</v>
      </c>
      <c r="D8" s="28" t="n">
        <f aca="false">Presupuesto!D15</f>
        <v>5000</v>
      </c>
    </row>
    <row r="9" customFormat="false" ht="15" hidden="false" customHeight="false" outlineLevel="0" collapsed="false">
      <c r="A9" s="16" t="s">
        <v>27</v>
      </c>
      <c r="B9" s="16" t="s">
        <v>71</v>
      </c>
      <c r="C9" s="25" t="s">
        <v>72</v>
      </c>
      <c r="D9" s="28" t="n">
        <f aca="false">Presupuesto!D16</f>
        <v>3000</v>
      </c>
    </row>
    <row r="10" customFormat="false" ht="15" hidden="false" customHeight="false" outlineLevel="0" collapsed="false">
      <c r="A10" s="16" t="s">
        <v>32</v>
      </c>
      <c r="B10" s="16" t="s">
        <v>73</v>
      </c>
      <c r="C10" s="27" t="s">
        <v>74</v>
      </c>
      <c r="D10" s="28" t="n">
        <f aca="false">Presupuesto!D20</f>
        <v>54399</v>
      </c>
    </row>
    <row r="11" customFormat="false" ht="15" hidden="false" customHeight="false" outlineLevel="0" collapsed="false">
      <c r="A11" s="16" t="s">
        <v>35</v>
      </c>
      <c r="B11" s="16" t="s">
        <v>75</v>
      </c>
      <c r="C11" s="27" t="s">
        <v>76</v>
      </c>
      <c r="D11" s="28" t="n">
        <f aca="false">Presupuesto!D21</f>
        <v>6300</v>
      </c>
    </row>
    <row r="12" customFormat="false" ht="15" hidden="false" customHeight="false" outlineLevel="0" collapsed="false">
      <c r="A12" s="16" t="s">
        <v>39</v>
      </c>
      <c r="B12" s="16" t="s">
        <v>62</v>
      </c>
      <c r="C12" s="27" t="s">
        <v>77</v>
      </c>
      <c r="D12" s="28" t="n">
        <f aca="false">Presupuesto!D25</f>
        <v>9809</v>
      </c>
    </row>
    <row r="13" customFormat="false" ht="15" hidden="false" customHeight="false" outlineLevel="0" collapsed="false">
      <c r="A13" s="16" t="s">
        <v>41</v>
      </c>
      <c r="B13" s="16" t="s">
        <v>62</v>
      </c>
      <c r="C13" s="27" t="s">
        <v>78</v>
      </c>
      <c r="D13" s="28" t="n">
        <f aca="false">Presupuesto!D26</f>
        <v>2638</v>
      </c>
    </row>
    <row r="14" customFormat="false" ht="15" hidden="false" customHeight="false" outlineLevel="0" collapsed="false">
      <c r="A14" s="16" t="s">
        <v>43</v>
      </c>
      <c r="B14" s="16" t="s">
        <v>60</v>
      </c>
      <c r="C14" s="27" t="s">
        <v>61</v>
      </c>
      <c r="D14" s="28" t="n">
        <f aca="false">Presupuesto!D27</f>
        <v>18879</v>
      </c>
    </row>
  </sheetData>
  <hyperlinks>
    <hyperlink ref="C2" r:id="rId1" display="https://www.tecnoimpor.com.ar/productos/balanza-digital-comercial-40-kg-con-calculo-de-precio-s-mastil-s/"/>
    <hyperlink ref="C3" r:id="rId2" display="https://tienda.starware.com.ar/producto/placa-desarrollo-diy-espressif-compatible-esp32-s3-devkitc-1-n16r8-esp32-s3-wroom-1-8mb/"/>
    <hyperlink ref="C4" r:id="rId3" display="https://www.todomicro.com.ar/investigacion-desarrollo-y-prototipado/759-modulo-amplificador-hx711-para-celda-de-carga.html"/>
    <hyperlink ref="C5" r:id="rId4" display="https://nerdstore.com.ar/producto/fuente-performance-9v-2a-plug-5-52-110mm/"/>
    <hyperlink ref="C6" r:id="rId5" display="https://www.todomicro.com.ar/step-down/589-modulo-lm2596-step-down-corriente-ajustable.html"/>
    <hyperlink ref="C7" r:id="rId6" display="https://www.leduniverse.com.ar/productos/ficha-plug-jack-hembra-5-5-x-2-1mm-bornera/"/>
    <hyperlink ref="C8" r:id="rId7" display="https://westsolution.com.ar/productos/conector-usb-tipo-a-hembra-a-chasis-pc-board-montaje-frontal/"/>
    <hyperlink ref="C10" r:id="rId8" display="https://mejorescompras.com.ar/precio/MLA36701582--impresora-termica-xprinter-xp58iih-bluetooth-58mm-comandera-pos-tickets-alta-velocidad-negro"/>
    <hyperlink ref="C11" r:id="rId9" display="https://inkgenio.com.ar/Rollos-Rollos-Termicos/3910-rollo-termico-57x30-pack-x10-7798070391182.html"/>
    <hyperlink ref="C12" r:id="rId10" display="https://www.todomicro.com.ar/628-kit-120-cables-20cm-protoboard-compatible-con-arduino.html"/>
    <hyperlink ref="C13" r:id="rId11" display="https://www.todomicro.com.ar/567-adaptador-usb-c-a-usb30.html"/>
    <hyperlink ref="C14" r:id="rId12" display="https://tienda.starware.com.ar/producto/placa-desarrollo-diy-espressif-compatible-esp32-s3-devkitc-1-n16r8-esp32-s3-wroom-1-8mb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2026-10-08T05:21:41Z</dcterms:created>
  <dc:creator>openpyxl</dc:creator>
  <dc:description/>
  <dc:language>en-US</dc:language>
  <cp:lastModifiedBy/>
  <dcterms:modified xsi:type="dcterms:W3CDTF">2026-10-08T05:21:41Z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