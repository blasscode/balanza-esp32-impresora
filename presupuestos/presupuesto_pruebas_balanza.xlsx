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Fu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0" authorId="0">
      <text>
        <r>
          <rPr>
            <sz val="10"/>
            <rFont val="Arial"/>
            <family val="2"/>
          </rPr>
          <t xml:space="preserve">Monto estimado, no relevado en una tienda.</t>
        </r>
      </text>
    </comment>
    <comment ref="E30" authorId="0">
      <text>
        <r>
          <rPr>
            <sz val="10"/>
            <rFont val="Arial"/>
            <family val="2"/>
          </rPr>
          <t xml:space="preserve">Porcentaje editable.</t>
        </r>
      </text>
    </comment>
  </commentList>
</comments>
</file>

<file path=xl/sharedStrings.xml><?xml version="1.0" encoding="utf-8"?>
<sst xmlns="http://schemas.openxmlformats.org/spreadsheetml/2006/main" count="115" uniqueCount="90">
  <si>
    <t xml:space="preserve">Presupuesto de pruebas: balanza con impresora de tickets</t>
  </si>
  <si>
    <t xml:space="preserve">La balanza la aportan, no se presupuesta. Laboratorio = lo mínimo para probar en la mesa; Completo = además deja todo listo para instalar en la balanza. Precios en pesos relevados el 7 y 8 de octubre de 2026. Envíos y mano de obra no incluidos.</t>
  </si>
  <si>
    <t xml:space="preserve">Ítem</t>
  </si>
  <si>
    <t xml:space="preserve">Para qué</t>
  </si>
  <si>
    <t xml:space="preserve">Cant. laboratorio</t>
  </si>
  <si>
    <t xml:space="preserve">Cant. completo</t>
  </si>
  <si>
    <t xml:space="preserve">Precio unitario</t>
  </si>
  <si>
    <t xml:space="preserve">Subtotal laboratorio</t>
  </si>
  <si>
    <t xml:space="preserve">Subtotal completo</t>
  </si>
  <si>
    <t xml:space="preserve">Nota</t>
  </si>
  <si>
    <t xml:space="preserve">1. Impresora y control</t>
  </si>
  <si>
    <t xml:space="preserve">Impresora térmica Xprinter XP-58IIH USB</t>
  </si>
  <si>
    <t xml:space="preserve">Imprimir los tickets; trae fuente, cable USB y 5 rollos</t>
  </si>
  <si>
    <t xml:space="preserve">Precio de referencia. Después queda para la caja.</t>
  </si>
  <si>
    <t xml:space="preserve">Placa ESP32-S3 DevKitC-1 compatible</t>
  </si>
  <si>
    <t xml:space="preserve">Cerebro: pesa, guarda los productos y maneja la impresora por USB</t>
  </si>
  <si>
    <t xml:space="preserve">Antena propia, dos puertos USB. Viene con los pines sin soldar.</t>
  </si>
  <si>
    <t xml:space="preserve">Adaptador OTG USB-C a USB-A hembra</t>
  </si>
  <si>
    <t xml:space="preserve">Conectar la impresora a la placa en la mesa</t>
  </si>
  <si>
    <t xml:space="preserve">2. Medición de peso</t>
  </si>
  <si>
    <t xml:space="preserve">Kit celda de carga 5 kg + módulo HX711</t>
  </si>
  <si>
    <t xml:space="preserve">Probar el pesaje en la mesa sin abrir la balanza</t>
  </si>
  <si>
    <t xml:space="preserve">Confirmar con la tienda que incluya el HX711.</t>
  </si>
  <si>
    <t xml:space="preserve">Módulo HX711 adicional</t>
  </si>
  <si>
    <t xml:space="preserve">Conectar la celda de carga de la balanza</t>
  </si>
  <si>
    <t xml:space="preserve">El del kit queda armado en la mesa.</t>
  </si>
  <si>
    <t xml:space="preserve">3. Alimentación</t>
  </si>
  <si>
    <t xml:space="preserve">Fuente 9 V 2 A</t>
  </si>
  <si>
    <t xml:space="preserve">Alimentar la electrónica</t>
  </si>
  <si>
    <t xml:space="preserve">Regulador step-down LM2596</t>
  </si>
  <si>
    <t xml:space="preserve">Bajar a 5 V para la placa y el puerto USB</t>
  </si>
  <si>
    <t xml:space="preserve">Ajustarlo a 5 V con el tester antes de conectar nada.</t>
  </si>
  <si>
    <t xml:space="preserve">Jack DC hembra con bornera</t>
  </si>
  <si>
    <t xml:space="preserve">Entrada de la fuente</t>
  </si>
  <si>
    <t xml:space="preserve">4. Conexiones y armado</t>
  </si>
  <si>
    <t xml:space="preserve">Protoboard 830 puntos</t>
  </si>
  <si>
    <t xml:space="preserve">Armar el circuito sin soldar</t>
  </si>
  <si>
    <t xml:space="preserve">Kit 120 cables dupont</t>
  </si>
  <si>
    <t xml:space="preserve">Conexiones en el protoboard</t>
  </si>
  <si>
    <t xml:space="preserve">Conector USB-A hembra de panel</t>
  </si>
  <si>
    <t xml:space="preserve">Dejar la impresora enchufable en la balanza</t>
  </si>
  <si>
    <t xml:space="preserve">Varios de armado</t>
  </si>
  <si>
    <t xml:space="preserve">Capacitores, estaño, termocontraíble, tornillos</t>
  </si>
  <si>
    <t xml:space="preserve">Monto estimado, no relevado en una tienda.</t>
  </si>
  <si>
    <t xml:space="preserve">5. Repuestos y papel</t>
  </si>
  <si>
    <t xml:space="preserve">Placa ESP32-S3 de repuesto</t>
  </si>
  <si>
    <t xml:space="preserve">Seguir probando si se daña la principal</t>
  </si>
  <si>
    <t xml:space="preserve">Rollos térmicos 57 mm x 30 m, pack x10</t>
  </si>
  <si>
    <t xml:space="preserve">Papel extra para las pruebas</t>
  </si>
  <si>
    <t xml:space="preserve">La impresora ya trae 5 rollos.</t>
  </si>
  <si>
    <t xml:space="preserve">6. Herramientas (solo si no las tenés)</t>
  </si>
  <si>
    <t xml:space="preserve">Multímetro digital DT830B</t>
  </si>
  <si>
    <t xml:space="preserve">Ajustar el regulador y revisar conexiones</t>
  </si>
  <si>
    <t xml:space="preserve">Si ya tenés uno, poné 0.</t>
  </si>
  <si>
    <t xml:space="preserve">Soldador tipo lápiz 40 W</t>
  </si>
  <si>
    <t xml:space="preserve">Soldar los pines de la placa y del HX711</t>
  </si>
  <si>
    <t xml:space="preserve">Resumen</t>
  </si>
  <si>
    <t xml:space="preserve">Subtotal</t>
  </si>
  <si>
    <t xml:space="preserve">Margen para imprevistos, envíos y aumentos</t>
  </si>
  <si>
    <t xml:space="preserve">TOTAL A PEDIR</t>
  </si>
  <si>
    <t xml:space="preserve">Total si ya tenés tester y soldador</t>
  </si>
  <si>
    <t xml:space="preserve">Amarillo: cantidades y margen editables. Azul: precios relevados en tiendas (ver hoja Fuentes). Negro: cálculos.</t>
  </si>
  <si>
    <t xml:space="preserve">Tienda</t>
  </si>
  <si>
    <t xml:space="preserve">Link</t>
  </si>
  <si>
    <t xml:space="preserve">Precio relevado</t>
  </si>
  <si>
    <t xml:space="preserve">Mercado Libre (vía MejoresCompras)</t>
  </si>
  <si>
    <t xml:space="preserve">https://mejorescompras.com.ar/precio/MLA36701582--impresora-termica-xprinter-xp58iih-bluetooth-58mm-comandera-pos-tickets-alta-velocidad-negro</t>
  </si>
  <si>
    <t xml:space="preserve">Starware</t>
  </si>
  <si>
    <t xml:space="preserve">https://tienda.starware.com.ar/producto/placa-desarrollo-diy-espressif-compatible-esp32-s3-devkitc-1-n16r8-esp32-s3-wroom-1-8mb/</t>
  </si>
  <si>
    <t xml:space="preserve">TodoMicro</t>
  </si>
  <si>
    <t xml:space="preserve">https://www.todomicro.com.ar/567-adaptador-usb-c-a-usb30.html</t>
  </si>
  <si>
    <t xml:space="preserve">B&amp;P Electrónica</t>
  </si>
  <si>
    <t xml:space="preserve">https://www.electronicabyp.com.ar/producto/celda-de-carga-5kg-c-amplif-hx711/</t>
  </si>
  <si>
    <t xml:space="preserve">https://www.todomicro.com.ar/investigacion-desarrollo-y-prototipado/759-modulo-amplificador-hx711-para-celda-de-carga.html</t>
  </si>
  <si>
    <t xml:space="preserve">Nerdstore</t>
  </si>
  <si>
    <t xml:space="preserve">https://nerdstore.com.ar/producto/fuente-performance-9v-2a-plug-5-52-110mm/</t>
  </si>
  <si>
    <t xml:space="preserve">https://www.todomicro.com.ar/step-down/589-modulo-lm2596-step-down-corriente-ajustable.html</t>
  </si>
  <si>
    <t xml:space="preserve">LED Universe</t>
  </si>
  <si>
    <t xml:space="preserve">https://www.leduniverse.com.ar/productos/ficha-plug-jack-hembra-5-5-x-2-1mm-bornera/</t>
  </si>
  <si>
    <t xml:space="preserve">https://www.todomicro.com.ar/229-protoboard-de-830-puntos.html</t>
  </si>
  <si>
    <t xml:space="preserve">https://www.todomicro.com.ar/628-kit-120-cables-20cm-protoboard-compatible-con-arduino.html</t>
  </si>
  <si>
    <t xml:space="preserve">West Solution</t>
  </si>
  <si>
    <t xml:space="preserve">https://westsolution.com.ar/productos/conector-usb-tipo-a-hembra-a-chasis-pc-board-montaje-frontal/</t>
  </si>
  <si>
    <t xml:space="preserve">Estimado</t>
  </si>
  <si>
    <t xml:space="preserve">Sin fuente: monto estimado</t>
  </si>
  <si>
    <t xml:space="preserve">Inkgenio</t>
  </si>
  <si>
    <t xml:space="preserve">https://inkgenio.com.ar/Rollos-Rollos-Termicos/3910-rollo-termico-57x30-pack-x10-7798070391182.html</t>
  </si>
  <si>
    <t xml:space="preserve">https://www.todomicro.com.ar/multimetros/500-multimetro-digital-dt830b.html</t>
  </si>
  <si>
    <t xml:space="preserve">Electrónica CEA</t>
  </si>
  <si>
    <t xml:space="preserve">https://electronicacea.com.ar/producto/soldador-40w-tipo-lapiz-punta-ceramica/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</si>
</sst>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;&quot;-$ &quot;#,##0;\-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u val="single"/>
      <sz val="9"/>
      <color rgb="FF0563C1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555555"/>
      </patternFill>
    </fill>
    <fill>
      <patternFill patternType="solid">
        <fgColor rgb="FFE7E6E6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7E6E6"/>
      </patternFill>
    </fill>
    <fill>
      <patternFill patternType="solid">
        <fgColor rgb="FFB4C6E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9E1F2"/>
      <rgbColor rgb="FF660066"/>
      <rgbColor rgb="FFFF8080"/>
      <rgbColor rgb="FF0563C1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ejorescompras.com.ar/precio/MLA36701582--impresora-termica-xprinter-xp58iih-bluetooth-58mm-comandera-pos-tickets-alta-velocidad-negro" TargetMode="External"/><Relationship Id="rId2" Type="http://schemas.openxmlformats.org/officeDocument/2006/relationships/hyperlink" Target="https://tienda.starware.com.ar/producto/placa-desarrollo-diy-espressif-compatible-esp32-s3-devkitc-1-n16r8-esp32-s3-wroom-1-8mb/" TargetMode="External"/><Relationship Id="rId3" Type="http://schemas.openxmlformats.org/officeDocument/2006/relationships/hyperlink" Target="https://www.todomicro.com.ar/567-adaptador-usb-c-a-usb30.html" TargetMode="External"/><Relationship Id="rId4" Type="http://schemas.openxmlformats.org/officeDocument/2006/relationships/hyperlink" Target="https://www.electronicabyp.com.ar/producto/celda-de-carga-5kg-c-amplif-hx711/" TargetMode="External"/><Relationship Id="rId5" Type="http://schemas.openxmlformats.org/officeDocument/2006/relationships/hyperlink" Target="https://www.todomicro.com.ar/investigacion-desarrollo-y-prototipado/759-modulo-amplificador-hx711-para-celda-de-carga.html" TargetMode="External"/><Relationship Id="rId6" Type="http://schemas.openxmlformats.org/officeDocument/2006/relationships/hyperlink" Target="https://nerdstore.com.ar/producto/fuente-performance-9v-2a-plug-5-52-110mm/" TargetMode="External"/><Relationship Id="rId7" Type="http://schemas.openxmlformats.org/officeDocument/2006/relationships/hyperlink" Target="https://www.todomicro.com.ar/step-down/589-modulo-lm2596-step-down-corriente-ajustable.html" TargetMode="External"/><Relationship Id="rId8" Type="http://schemas.openxmlformats.org/officeDocument/2006/relationships/hyperlink" Target="https://www.leduniverse.com.ar/productos/ficha-plug-jack-hembra-5-5-x-2-1mm-bornera/" TargetMode="External"/><Relationship Id="rId9" Type="http://schemas.openxmlformats.org/officeDocument/2006/relationships/hyperlink" Target="https://www.todomicro.com.ar/229-protoboard-de-830-puntos.html" TargetMode="External"/><Relationship Id="rId10" Type="http://schemas.openxmlformats.org/officeDocument/2006/relationships/hyperlink" Target="https://www.todomicro.com.ar/628-kit-120-cables-20cm-protoboard-compatible-con-arduino.html" TargetMode="External"/><Relationship Id="rId11" Type="http://schemas.openxmlformats.org/officeDocument/2006/relationships/hyperlink" Target="https://westsolution.com.ar/productos/conector-usb-tipo-a-hembra-a-chasis-pc-board-montaje-frontal/" TargetMode="External"/><Relationship Id="rId12" Type="http://schemas.openxmlformats.org/officeDocument/2006/relationships/hyperlink" Target="https://tienda.starware.com.ar/producto/placa-desarrollo-diy-espressif-compatible-esp32-s3-devkitc-1-n16r8-esp32-s3-wroom-1-8mb/" TargetMode="External"/><Relationship Id="rId13" Type="http://schemas.openxmlformats.org/officeDocument/2006/relationships/hyperlink" Target="https://inkgenio.com.ar/Rollos-Rollos-Termicos/3910-rollo-termico-57x30-pack-x10-7798070391182.html" TargetMode="External"/><Relationship Id="rId14" Type="http://schemas.openxmlformats.org/officeDocument/2006/relationships/hyperlink" Target="https://www.todomicro.com.ar/multimetros/500-multimetro-digital-dt830b.html" TargetMode="External"/><Relationship Id="rId15" Type="http://schemas.openxmlformats.org/officeDocument/2006/relationships/hyperlink" Target="https://electronicacea.com.ar/producto/soldador-40w-tipo-lapiz-punta-ceramica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11</v>
      </c>
      <c r="B6" s="6" t="s">
        <v>12</v>
      </c>
      <c r="C6" s="7" t="n">
        <v>1</v>
      </c>
      <c r="D6" s="7" t="n">
        <v>1</v>
      </c>
      <c r="E6" s="8" t="n">
        <v>54399</v>
      </c>
      <c r="F6" s="9" t="n">
        <f aca="false">C6*E6</f>
        <v>54399</v>
      </c>
      <c r="G6" s="9" t="n">
        <f aca="false">D6*E6</f>
        <v>54399</v>
      </c>
      <c r="H6" s="10" t="s">
        <v>13</v>
      </c>
    </row>
    <row r="7" customFormat="false" ht="23.85" hidden="false" customHeight="false" outlineLevel="0" collapsed="false">
      <c r="A7" s="6" t="s">
        <v>14</v>
      </c>
      <c r="B7" s="6" t="s">
        <v>15</v>
      </c>
      <c r="C7" s="7" t="n">
        <v>1</v>
      </c>
      <c r="D7" s="7" t="n">
        <v>1</v>
      </c>
      <c r="E7" s="8" t="n">
        <v>18879</v>
      </c>
      <c r="F7" s="9" t="n">
        <f aca="false">C7*E7</f>
        <v>18879</v>
      </c>
      <c r="G7" s="9" t="n">
        <f aca="false">D7*E7</f>
        <v>18879</v>
      </c>
      <c r="H7" s="10" t="s">
        <v>16</v>
      </c>
    </row>
    <row r="8" customFormat="false" ht="15" hidden="false" customHeight="false" outlineLevel="0" collapsed="false">
      <c r="A8" s="6" t="s">
        <v>17</v>
      </c>
      <c r="B8" s="6" t="s">
        <v>18</v>
      </c>
      <c r="C8" s="7" t="n">
        <v>1</v>
      </c>
      <c r="D8" s="7" t="n">
        <v>1</v>
      </c>
      <c r="E8" s="8" t="n">
        <v>2638</v>
      </c>
      <c r="F8" s="9" t="n">
        <f aca="false">C8*E8</f>
        <v>2638</v>
      </c>
      <c r="G8" s="9" t="n">
        <f aca="false">D8*E8</f>
        <v>2638</v>
      </c>
      <c r="H8" s="10"/>
    </row>
    <row r="9" customFormat="false" ht="15" hidden="false" customHeight="false" outlineLevel="0" collapsed="false">
      <c r="A9" s="4" t="s">
        <v>19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 t="s">
        <v>20</v>
      </c>
      <c r="B10" s="6" t="s">
        <v>21</v>
      </c>
      <c r="C10" s="7" t="n">
        <v>1</v>
      </c>
      <c r="D10" s="7" t="n">
        <v>1</v>
      </c>
      <c r="E10" s="8" t="n">
        <v>10693</v>
      </c>
      <c r="F10" s="9" t="n">
        <f aca="false">C10*E10</f>
        <v>10693</v>
      </c>
      <c r="G10" s="9" t="n">
        <f aca="false">D10*E10</f>
        <v>10693</v>
      </c>
      <c r="H10" s="10" t="s">
        <v>22</v>
      </c>
    </row>
    <row r="11" customFormat="false" ht="15" hidden="false" customHeight="false" outlineLevel="0" collapsed="false">
      <c r="A11" s="6" t="s">
        <v>23</v>
      </c>
      <c r="B11" s="6" t="s">
        <v>24</v>
      </c>
      <c r="C11" s="7" t="n">
        <v>0</v>
      </c>
      <c r="D11" s="7" t="n">
        <v>1</v>
      </c>
      <c r="E11" s="8" t="n">
        <v>3290</v>
      </c>
      <c r="F11" s="9" t="n">
        <f aca="false">C11*E11</f>
        <v>0</v>
      </c>
      <c r="G11" s="9" t="n">
        <f aca="false">D11*E11</f>
        <v>3290</v>
      </c>
      <c r="H11" s="10" t="s">
        <v>25</v>
      </c>
    </row>
    <row r="12" customFormat="false" ht="15" hidden="false" customHeight="false" outlineLevel="0" collapsed="false">
      <c r="A12" s="4" t="s">
        <v>26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27</v>
      </c>
      <c r="B13" s="6" t="s">
        <v>28</v>
      </c>
      <c r="C13" s="7" t="n">
        <v>1</v>
      </c>
      <c r="D13" s="7" t="n">
        <v>1</v>
      </c>
      <c r="E13" s="8" t="n">
        <v>11950</v>
      </c>
      <c r="F13" s="9" t="n">
        <f aca="false">C13*E13</f>
        <v>11950</v>
      </c>
      <c r="G13" s="9" t="n">
        <f aca="false">D13*E13</f>
        <v>11950</v>
      </c>
      <c r="H13" s="10"/>
    </row>
    <row r="14" customFormat="false" ht="15" hidden="false" customHeight="false" outlineLevel="0" collapsed="false">
      <c r="A14" s="6" t="s">
        <v>29</v>
      </c>
      <c r="B14" s="6" t="s">
        <v>30</v>
      </c>
      <c r="C14" s="7" t="n">
        <v>1</v>
      </c>
      <c r="D14" s="7" t="n">
        <v>1</v>
      </c>
      <c r="E14" s="8" t="n">
        <v>4682</v>
      </c>
      <c r="F14" s="9" t="n">
        <f aca="false">C14*E14</f>
        <v>4682</v>
      </c>
      <c r="G14" s="9" t="n">
        <f aca="false">D14*E14</f>
        <v>4682</v>
      </c>
      <c r="H14" s="10" t="s">
        <v>31</v>
      </c>
    </row>
    <row r="15" customFormat="false" ht="15" hidden="false" customHeight="false" outlineLevel="0" collapsed="false">
      <c r="A15" s="6" t="s">
        <v>32</v>
      </c>
      <c r="B15" s="6" t="s">
        <v>33</v>
      </c>
      <c r="C15" s="7" t="n">
        <v>1</v>
      </c>
      <c r="D15" s="7" t="n">
        <v>1</v>
      </c>
      <c r="E15" s="8" t="n">
        <v>600</v>
      </c>
      <c r="F15" s="9" t="n">
        <f aca="false">C15*E15</f>
        <v>600</v>
      </c>
      <c r="G15" s="9" t="n">
        <f aca="false">D15*E15</f>
        <v>600</v>
      </c>
      <c r="H15" s="10"/>
    </row>
    <row r="16" customFormat="false" ht="15" hidden="false" customHeight="false" outlineLevel="0" collapsed="false">
      <c r="A16" s="4" t="s">
        <v>34</v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6" t="s">
        <v>35</v>
      </c>
      <c r="B17" s="6" t="s">
        <v>36</v>
      </c>
      <c r="C17" s="7" t="n">
        <v>1</v>
      </c>
      <c r="D17" s="7" t="n">
        <v>1</v>
      </c>
      <c r="E17" s="8" t="n">
        <v>3489</v>
      </c>
      <c r="F17" s="9" t="n">
        <f aca="false">C17*E17</f>
        <v>3489</v>
      </c>
      <c r="G17" s="9" t="n">
        <f aca="false">D17*E17</f>
        <v>3489</v>
      </c>
      <c r="H17" s="10"/>
    </row>
    <row r="18" customFormat="false" ht="15" hidden="false" customHeight="false" outlineLevel="0" collapsed="false">
      <c r="A18" s="6" t="s">
        <v>37</v>
      </c>
      <c r="B18" s="6" t="s">
        <v>38</v>
      </c>
      <c r="C18" s="7" t="n">
        <v>1</v>
      </c>
      <c r="D18" s="7" t="n">
        <v>1</v>
      </c>
      <c r="E18" s="8" t="n">
        <v>9809</v>
      </c>
      <c r="F18" s="9" t="n">
        <f aca="false">C18*E18</f>
        <v>9809</v>
      </c>
      <c r="G18" s="9" t="n">
        <f aca="false">D18*E18</f>
        <v>9809</v>
      </c>
      <c r="H18" s="10"/>
    </row>
    <row r="19" customFormat="false" ht="15" hidden="false" customHeight="false" outlineLevel="0" collapsed="false">
      <c r="A19" s="6" t="s">
        <v>39</v>
      </c>
      <c r="B19" s="6" t="s">
        <v>40</v>
      </c>
      <c r="C19" s="7" t="n">
        <v>0</v>
      </c>
      <c r="D19" s="7" t="n">
        <v>1</v>
      </c>
      <c r="E19" s="8" t="n">
        <v>5000</v>
      </c>
      <c r="F19" s="9" t="n">
        <f aca="false">C19*E19</f>
        <v>0</v>
      </c>
      <c r="G19" s="9" t="n">
        <f aca="false">D19*E19</f>
        <v>5000</v>
      </c>
      <c r="H19" s="10"/>
    </row>
    <row r="20" customFormat="false" ht="15" hidden="false" customHeight="false" outlineLevel="0" collapsed="false">
      <c r="A20" s="6" t="s">
        <v>41</v>
      </c>
      <c r="B20" s="6" t="s">
        <v>42</v>
      </c>
      <c r="C20" s="7" t="n">
        <v>1</v>
      </c>
      <c r="D20" s="7" t="n">
        <v>1</v>
      </c>
      <c r="E20" s="8" t="n">
        <v>3000</v>
      </c>
      <c r="F20" s="9" t="n">
        <f aca="false">C20*E20</f>
        <v>3000</v>
      </c>
      <c r="G20" s="9" t="n">
        <f aca="false">D20*E20</f>
        <v>3000</v>
      </c>
      <c r="H20" s="10" t="s">
        <v>43</v>
      </c>
    </row>
    <row r="21" customFormat="false" ht="15" hidden="false" customHeight="false" outlineLevel="0" collapsed="false">
      <c r="A21" s="4" t="s">
        <v>44</v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6" t="s">
        <v>45</v>
      </c>
      <c r="B22" s="6" t="s">
        <v>46</v>
      </c>
      <c r="C22" s="7" t="n">
        <v>0</v>
      </c>
      <c r="D22" s="7" t="n">
        <v>1</v>
      </c>
      <c r="E22" s="8" t="n">
        <v>18879</v>
      </c>
      <c r="F22" s="9" t="n">
        <f aca="false">C22*E22</f>
        <v>0</v>
      </c>
      <c r="G22" s="9" t="n">
        <f aca="false">D22*E22</f>
        <v>18879</v>
      </c>
      <c r="H22" s="10"/>
    </row>
    <row r="23" customFormat="false" ht="15" hidden="false" customHeight="false" outlineLevel="0" collapsed="false">
      <c r="A23" s="6" t="s">
        <v>47</v>
      </c>
      <c r="B23" s="6" t="s">
        <v>48</v>
      </c>
      <c r="C23" s="7" t="n">
        <v>0</v>
      </c>
      <c r="D23" s="7" t="n">
        <v>1</v>
      </c>
      <c r="E23" s="8" t="n">
        <v>6300</v>
      </c>
      <c r="F23" s="9" t="n">
        <f aca="false">C23*E23</f>
        <v>0</v>
      </c>
      <c r="G23" s="9" t="n">
        <f aca="false">D23*E23</f>
        <v>6300</v>
      </c>
      <c r="H23" s="10" t="s">
        <v>49</v>
      </c>
    </row>
    <row r="24" customFormat="false" ht="15" hidden="false" customHeight="false" outlineLevel="0" collapsed="false">
      <c r="A24" s="4" t="s">
        <v>50</v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6" t="s">
        <v>51</v>
      </c>
      <c r="B25" s="6" t="s">
        <v>52</v>
      </c>
      <c r="C25" s="7" t="n">
        <v>1</v>
      </c>
      <c r="D25" s="7" t="n">
        <v>1</v>
      </c>
      <c r="E25" s="8" t="n">
        <v>4071</v>
      </c>
      <c r="F25" s="9" t="n">
        <f aca="false">C25*E25</f>
        <v>4071</v>
      </c>
      <c r="G25" s="9" t="n">
        <f aca="false">D25*E25</f>
        <v>4071</v>
      </c>
      <c r="H25" s="10" t="s">
        <v>53</v>
      </c>
    </row>
    <row r="26" customFormat="false" ht="15" hidden="false" customHeight="false" outlineLevel="0" collapsed="false">
      <c r="A26" s="6" t="s">
        <v>54</v>
      </c>
      <c r="B26" s="6" t="s">
        <v>55</v>
      </c>
      <c r="C26" s="7" t="n">
        <v>1</v>
      </c>
      <c r="D26" s="7" t="n">
        <v>1</v>
      </c>
      <c r="E26" s="8" t="n">
        <v>17100</v>
      </c>
      <c r="F26" s="9" t="n">
        <f aca="false">C26*E26</f>
        <v>17100</v>
      </c>
      <c r="G26" s="9" t="n">
        <f aca="false">D26*E26</f>
        <v>17100</v>
      </c>
      <c r="H26" s="10" t="s">
        <v>53</v>
      </c>
    </row>
    <row r="28" customFormat="false" ht="15" hidden="false" customHeight="false" outlineLevel="0" collapsed="false">
      <c r="A28" s="11" t="s">
        <v>56</v>
      </c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3" t="s">
        <v>57</v>
      </c>
      <c r="B29" s="14"/>
      <c r="C29" s="14"/>
      <c r="D29" s="14"/>
      <c r="E29" s="14"/>
      <c r="F29" s="15" t="n">
        <f aca="false">SUM(F5:F26)</f>
        <v>141310</v>
      </c>
      <c r="G29" s="15" t="n">
        <f aca="false">SUM(G5:G26)</f>
        <v>174779</v>
      </c>
      <c r="H29" s="14"/>
    </row>
    <row r="30" customFormat="false" ht="15" hidden="false" customHeight="false" outlineLevel="0" collapsed="false">
      <c r="A30" s="16" t="s">
        <v>58</v>
      </c>
      <c r="B30" s="17"/>
      <c r="C30" s="17"/>
      <c r="D30" s="17"/>
      <c r="E30" s="18" t="n">
        <v>0.15</v>
      </c>
      <c r="F30" s="19" t="n">
        <f aca="false">F29*$E$30</f>
        <v>21196.5</v>
      </c>
      <c r="G30" s="19" t="n">
        <f aca="false">G29*$E$30</f>
        <v>26216.85</v>
      </c>
      <c r="H30" s="17"/>
    </row>
    <row r="31" customFormat="false" ht="15" hidden="false" customHeight="false" outlineLevel="0" collapsed="false">
      <c r="A31" s="20" t="s">
        <v>59</v>
      </c>
      <c r="B31" s="21"/>
      <c r="C31" s="21"/>
      <c r="D31" s="21"/>
      <c r="E31" s="21"/>
      <c r="F31" s="22" t="n">
        <f aca="false">F29+F30</f>
        <v>162506.5</v>
      </c>
      <c r="G31" s="22" t="n">
        <f aca="false">G29+G30</f>
        <v>200995.85</v>
      </c>
      <c r="H31" s="21"/>
    </row>
    <row r="32" customFormat="false" ht="15" hidden="false" customHeight="false" outlineLevel="0" collapsed="false">
      <c r="A32" s="16" t="s">
        <v>60</v>
      </c>
      <c r="B32" s="17"/>
      <c r="C32" s="17"/>
      <c r="D32" s="17"/>
      <c r="E32" s="17"/>
      <c r="F32" s="19" t="n">
        <f aca="false">(F29-F25-F26)*(1+$E$30)</f>
        <v>138159.85</v>
      </c>
      <c r="G32" s="19" t="n">
        <f aca="false">(G29-G25-G26)*(1+$E$30)</f>
        <v>176649.2</v>
      </c>
      <c r="H32" s="17"/>
    </row>
    <row r="34" customFormat="false" ht="15" hidden="false" customHeight="false" outlineLevel="0" collapsed="false">
      <c r="A34" s="23" t="s">
        <v>61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24" t="s">
        <v>2</v>
      </c>
      <c r="B1" s="24" t="s">
        <v>62</v>
      </c>
      <c r="C1" s="24" t="s">
        <v>63</v>
      </c>
      <c r="D1" s="24" t="s">
        <v>64</v>
      </c>
    </row>
    <row r="2" customFormat="false" ht="15" hidden="false" customHeight="false" outlineLevel="0" collapsed="false">
      <c r="A2" s="16" t="s">
        <v>11</v>
      </c>
      <c r="B2" s="16" t="s">
        <v>65</v>
      </c>
      <c r="C2" s="25" t="s">
        <v>66</v>
      </c>
      <c r="D2" s="26" t="n">
        <f aca="false">Presupuesto!E6</f>
        <v>54399</v>
      </c>
    </row>
    <row r="3" customFormat="false" ht="15" hidden="false" customHeight="false" outlineLevel="0" collapsed="false">
      <c r="A3" s="16" t="s">
        <v>14</v>
      </c>
      <c r="B3" s="16" t="s">
        <v>67</v>
      </c>
      <c r="C3" s="25" t="s">
        <v>68</v>
      </c>
      <c r="D3" s="26" t="n">
        <f aca="false">Presupuesto!E7</f>
        <v>18879</v>
      </c>
    </row>
    <row r="4" customFormat="false" ht="15" hidden="false" customHeight="false" outlineLevel="0" collapsed="false">
      <c r="A4" s="16" t="s">
        <v>17</v>
      </c>
      <c r="B4" s="16" t="s">
        <v>69</v>
      </c>
      <c r="C4" s="25" t="s">
        <v>70</v>
      </c>
      <c r="D4" s="26" t="n">
        <f aca="false">Presupuesto!E8</f>
        <v>2638</v>
      </c>
    </row>
    <row r="5" customFormat="false" ht="15" hidden="false" customHeight="false" outlineLevel="0" collapsed="false">
      <c r="A5" s="16" t="s">
        <v>20</v>
      </c>
      <c r="B5" s="16" t="s">
        <v>71</v>
      </c>
      <c r="C5" s="25" t="s">
        <v>72</v>
      </c>
      <c r="D5" s="26" t="n">
        <f aca="false">Presupuesto!E10</f>
        <v>10693</v>
      </c>
    </row>
    <row r="6" customFormat="false" ht="15" hidden="false" customHeight="false" outlineLevel="0" collapsed="false">
      <c r="A6" s="16" t="s">
        <v>23</v>
      </c>
      <c r="B6" s="16" t="s">
        <v>69</v>
      </c>
      <c r="C6" s="25" t="s">
        <v>73</v>
      </c>
      <c r="D6" s="26" t="n">
        <f aca="false">Presupuesto!E11</f>
        <v>3290</v>
      </c>
    </row>
    <row r="7" customFormat="false" ht="15" hidden="false" customHeight="false" outlineLevel="0" collapsed="false">
      <c r="A7" s="16" t="s">
        <v>27</v>
      </c>
      <c r="B7" s="16" t="s">
        <v>74</v>
      </c>
      <c r="C7" s="25" t="s">
        <v>75</v>
      </c>
      <c r="D7" s="26" t="n">
        <f aca="false">Presupuesto!E13</f>
        <v>11950</v>
      </c>
    </row>
    <row r="8" customFormat="false" ht="15" hidden="false" customHeight="false" outlineLevel="0" collapsed="false">
      <c r="A8" s="16" t="s">
        <v>29</v>
      </c>
      <c r="B8" s="16" t="s">
        <v>69</v>
      </c>
      <c r="C8" s="25" t="s">
        <v>76</v>
      </c>
      <c r="D8" s="26" t="n">
        <f aca="false">Presupuesto!E14</f>
        <v>4682</v>
      </c>
    </row>
    <row r="9" customFormat="false" ht="15" hidden="false" customHeight="false" outlineLevel="0" collapsed="false">
      <c r="A9" s="16" t="s">
        <v>32</v>
      </c>
      <c r="B9" s="16" t="s">
        <v>77</v>
      </c>
      <c r="C9" s="25" t="s">
        <v>78</v>
      </c>
      <c r="D9" s="26" t="n">
        <f aca="false">Presupuesto!E15</f>
        <v>600</v>
      </c>
    </row>
    <row r="10" customFormat="false" ht="15" hidden="false" customHeight="false" outlineLevel="0" collapsed="false">
      <c r="A10" s="16" t="s">
        <v>35</v>
      </c>
      <c r="B10" s="16" t="s">
        <v>69</v>
      </c>
      <c r="C10" s="25" t="s">
        <v>79</v>
      </c>
      <c r="D10" s="26" t="n">
        <f aca="false">Presupuesto!E17</f>
        <v>3489</v>
      </c>
    </row>
    <row r="11" customFormat="false" ht="15" hidden="false" customHeight="false" outlineLevel="0" collapsed="false">
      <c r="A11" s="16" t="s">
        <v>37</v>
      </c>
      <c r="B11" s="16" t="s">
        <v>69</v>
      </c>
      <c r="C11" s="25" t="s">
        <v>80</v>
      </c>
      <c r="D11" s="26" t="n">
        <f aca="false">Presupuesto!E18</f>
        <v>9809</v>
      </c>
    </row>
    <row r="12" customFormat="false" ht="15" hidden="false" customHeight="false" outlineLevel="0" collapsed="false">
      <c r="A12" s="16" t="s">
        <v>39</v>
      </c>
      <c r="B12" s="16" t="s">
        <v>81</v>
      </c>
      <c r="C12" s="25" t="s">
        <v>82</v>
      </c>
      <c r="D12" s="26" t="n">
        <f aca="false">Presupuesto!E19</f>
        <v>5000</v>
      </c>
    </row>
    <row r="13" customFormat="false" ht="15" hidden="false" customHeight="false" outlineLevel="0" collapsed="false">
      <c r="A13" s="16" t="s">
        <v>41</v>
      </c>
      <c r="B13" s="16" t="s">
        <v>83</v>
      </c>
      <c r="C13" s="27" t="s">
        <v>84</v>
      </c>
      <c r="D13" s="26" t="n">
        <f aca="false">Presupuesto!E20</f>
        <v>3000</v>
      </c>
    </row>
    <row r="14" customFormat="false" ht="15" hidden="false" customHeight="false" outlineLevel="0" collapsed="false">
      <c r="A14" s="16" t="s">
        <v>45</v>
      </c>
      <c r="B14" s="16" t="s">
        <v>67</v>
      </c>
      <c r="C14" s="25" t="s">
        <v>68</v>
      </c>
      <c r="D14" s="26" t="n">
        <f aca="false">Presupuesto!E22</f>
        <v>18879</v>
      </c>
    </row>
    <row r="15" customFormat="false" ht="15" hidden="false" customHeight="false" outlineLevel="0" collapsed="false">
      <c r="A15" s="16" t="s">
        <v>47</v>
      </c>
      <c r="B15" s="16" t="s">
        <v>85</v>
      </c>
      <c r="C15" s="25" t="s">
        <v>86</v>
      </c>
      <c r="D15" s="26" t="n">
        <f aca="false">Presupuesto!E23</f>
        <v>6300</v>
      </c>
    </row>
    <row r="16" customFormat="false" ht="15" hidden="false" customHeight="false" outlineLevel="0" collapsed="false">
      <c r="A16" s="16" t="s">
        <v>51</v>
      </c>
      <c r="B16" s="16" t="s">
        <v>69</v>
      </c>
      <c r="C16" s="25" t="s">
        <v>87</v>
      </c>
      <c r="D16" s="26" t="n">
        <f aca="false">Presupuesto!E25</f>
        <v>4071</v>
      </c>
    </row>
    <row r="17" customFormat="false" ht="15" hidden="false" customHeight="false" outlineLevel="0" collapsed="false">
      <c r="A17" s="16" t="s">
        <v>54</v>
      </c>
      <c r="B17" s="16" t="s">
        <v>88</v>
      </c>
      <c r="C17" s="25" t="s">
        <v>89</v>
      </c>
      <c r="D17" s="26" t="n">
        <f aca="false">Presupuesto!E26</f>
        <v>17100</v>
      </c>
    </row>
  </sheetData>
  <hyperlinks>
    <hyperlink ref="C2" r:id="rId1" display="https://mejorescompras.com.ar/precio/MLA36701582--impresora-termica-xprinter-xp58iih-bluetooth-58mm-comandera-pos-tickets-alta-velocidad-negro"/>
    <hyperlink ref="C3" r:id="rId2" display="https://tienda.starware.com.ar/producto/placa-desarrollo-diy-espressif-compatible-esp32-s3-devkitc-1-n16r8-esp32-s3-wroom-1-8mb/"/>
    <hyperlink ref="C4" r:id="rId3" display="https://www.todomicro.com.ar/567-adaptador-usb-c-a-usb30.html"/>
    <hyperlink ref="C5" r:id="rId4" display="https://www.electronicabyp.com.ar/producto/celda-de-carga-5kg-c-amplif-hx711/"/>
    <hyperlink ref="C6" r:id="rId5" display="https://www.todomicro.com.ar/investigacion-desarrollo-y-prototipado/759-modulo-amplificador-hx711-para-celda-de-carga.html"/>
    <hyperlink ref="C7" r:id="rId6" display="https://nerdstore.com.ar/producto/fuente-performance-9v-2a-plug-5-52-110mm/"/>
    <hyperlink ref="C8" r:id="rId7" display="https://www.todomicro.com.ar/step-down/589-modulo-lm2596-step-down-corriente-ajustable.html"/>
    <hyperlink ref="C9" r:id="rId8" display="https://www.leduniverse.com.ar/productos/ficha-plug-jack-hembra-5-5-x-2-1mm-bornera/"/>
    <hyperlink ref="C10" r:id="rId9" display="https://www.todomicro.com.ar/229-protoboard-de-830-puntos.html"/>
    <hyperlink ref="C11" r:id="rId10" display="https://www.todomicro.com.ar/628-kit-120-cables-20cm-protoboard-compatible-con-arduino.html"/>
    <hyperlink ref="C12" r:id="rId11" display="https://westsolution.com.ar/productos/conector-usb-tipo-a-hembra-a-chasis-pc-board-montaje-frontal/"/>
    <hyperlink ref="C14" r:id="rId12" display="https://tienda.starware.com.ar/producto/placa-desarrollo-diy-espressif-compatible-esp32-s3-devkitc-1-n16r8-esp32-s3-wroom-1-8mb/"/>
    <hyperlink ref="C15" r:id="rId13" display="https://inkgenio.com.ar/Rollos-Rollos-Termicos/3910-rollo-termico-57x30-pack-x10-7798070391182.html"/>
    <hyperlink ref="C16" r:id="rId14" display="https://www.todomicro.com.ar/multimetros/500-multimetro-digital-dt830b.html"/>
    <hyperlink ref="C17" r:id="rId15" display="https://electronicacea.com.ar/producto/soldador-40w-tipo-lapiz-punta-ceramic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2026-10-08T05:32:32Z</dcterms:created>
  <dc:creator>openpyxl</dc:creator>
  <dc:description/>
  <dc:language>en-US</dc:language>
  <cp:lastModifiedBy/>
  <dcterms:modified xsi:type="dcterms:W3CDTF">2026-10-08T05:32:32Z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